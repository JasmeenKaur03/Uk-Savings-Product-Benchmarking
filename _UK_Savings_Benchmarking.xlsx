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980" tabRatio="500" activeTab="1"/>
  </bookViews>
  <sheets>
    <sheet name="Product Comparison" sheetId="1" r:id="rId1"/>
    <sheet name="Competitive Analysis" sheetId="2" r:id="rId2"/>
    <sheet name="Recommendation Matrix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1" l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<sst xmlns="http://schemas.openxmlformats.org/spreadsheetml/2006/main" count="222" uniqueCount="132">
  <si>
    <t>UK Digital Banks — Retail Savings Product Benchmarking (October 2025)</t>
  </si>
  <si>
    <t>Bank</t>
  </si>
  <si>
    <t>Product Name</t>
  </si>
  <si>
    <t>Product Type</t>
  </si>
  <si>
    <t>AER (%)</t>
  </si>
  <si>
    <t>Min Deposit (GBP)</t>
  </si>
  <si>
    <t>Max Deposit (GBP)</t>
  </si>
  <si>
    <t>Notice / Term</t>
  </si>
  <si>
    <t>FSCS Protected?</t>
  </si>
  <si>
    <t>Access Method</t>
  </si>
  <si>
    <t>Rate Rank</t>
  </si>
  <si>
    <t>Pinnacle Savings</t>
  </si>
  <si>
    <t>Pinnacle Easy Access Saver</t>
  </si>
  <si>
    <t>Easy Access</t>
  </si>
  <si>
    <t>None</t>
  </si>
  <si>
    <t>Yes</t>
  </si>
  <si>
    <t>Online / App</t>
  </si>
  <si>
    <t>Pinnacle 95-Day Notice</t>
  </si>
  <si>
    <t>Notice Account</t>
  </si>
  <si>
    <t>95 Days</t>
  </si>
  <si>
    <t>Online</t>
  </si>
  <si>
    <t>Pinnacle 1-Year Fixed</t>
  </si>
  <si>
    <t>Fixed Term</t>
  </si>
  <si>
    <t>12 Months</t>
  </si>
  <si>
    <t>Pinnacle 2-Year Fixed</t>
  </si>
  <si>
    <t>24 Months</t>
  </si>
  <si>
    <t>Goldmark Savings</t>
  </si>
  <si>
    <t>Goldmark Easy Access</t>
  </si>
  <si>
    <t>Goldmark 1-Year Fixed</t>
  </si>
  <si>
    <t>Apex Digital Bank</t>
  </si>
  <si>
    <t>Apex Instant Saver</t>
  </si>
  <si>
    <t>App Only</t>
  </si>
  <si>
    <t>Apex 6-Month Fixed</t>
  </si>
  <si>
    <t>6 Months</t>
  </si>
  <si>
    <t>Apex 1-Year Fixed</t>
  </si>
  <si>
    <t>Bloom Bank</t>
  </si>
  <si>
    <t>Bloom Flex Saver</t>
  </si>
  <si>
    <t>Bloom Fixed Pot 1Y</t>
  </si>
  <si>
    <t>Crestfield UK</t>
  </si>
  <si>
    <t>Crestfield Saver</t>
  </si>
  <si>
    <t>Crestfield Fixed 1Y</t>
  </si>
  <si>
    <t>Sterling Digital</t>
  </si>
  <si>
    <t>Sterling Instant Access</t>
  </si>
  <si>
    <t>Bank-Level Competitive Analysis — Rates, Limits and Market Positioning (October 2025)</t>
  </si>
  <si>
    <t>Market Type</t>
  </si>
  <si>
    <t>Best Easy Access AER</t>
  </si>
  <si>
    <t>Best Fixed Term AER</t>
  </si>
  <si>
    <t>Max Deposit Limit (GBP)</t>
  </si>
  <si>
    <t>Market Positioning</t>
  </si>
  <si>
    <t>Premium Digital</t>
  </si>
  <si>
    <t>High-rate, high-limit, entrepreneur-aligned deposit bank</t>
  </si>
  <si>
    <t>Mass Market Digital</t>
  </si>
  <si>
    <t>Broad retail appeal with trusted institutional brand backing</t>
  </si>
  <si>
    <t>App-First Digital</t>
  </si>
  <si>
    <t>Low entry barrier, mobile-native, strong youth market penetration</t>
  </si>
  <si>
    <t>Lifestyle Challenger</t>
  </si>
  <si>
    <t>Combines lifestyle spending and savings in a single app experience</t>
  </si>
  <si>
    <t>US-Backed Challenger</t>
  </si>
  <si>
    <t>Large deposit caps supported by US parent brand credibility</t>
  </si>
  <si>
    <t>Business-Focused</t>
  </si>
  <si>
    <t>N/A</t>
  </si>
  <si>
    <t>Highest deposit cap in market; limited fixed-term product range</t>
  </si>
  <si>
    <t>Pinnacle Savings — Competitive Advantage Analysis</t>
  </si>
  <si>
    <t>Advantage</t>
  </si>
  <si>
    <t>Pinnacle Figure</t>
  </si>
  <si>
    <t>Market Average</t>
  </si>
  <si>
    <t>Strength</t>
  </si>
  <si>
    <t>Strategic Implication</t>
  </si>
  <si>
    <t>Highest Easy Access AER</t>
  </si>
  <si>
    <t>4.72%</t>
  </si>
  <si>
    <t>4.09% (market avg)</t>
  </si>
  <si>
    <t>Strong</t>
  </si>
  <si>
    <t>Attracts rate-sensitive retail savers; competitive differentiator</t>
  </si>
  <si>
    <t>Market-Leading Fixed Rate</t>
  </si>
  <si>
    <t>5.02% (1-Year)</t>
  </si>
  <si>
    <t>4.79% (market avg)</t>
  </si>
  <si>
    <t>Drives fixed-term deposit volume from growth-focused savers</t>
  </si>
  <si>
    <t>High Maximum Deposit Limit</t>
  </si>
  <si>
    <t>GBP 500,000</t>
  </si>
  <si>
    <t>GBP 100,000–250,000 (peers)</t>
  </si>
  <si>
    <t>Serves high-net-worth individuals and business depositors</t>
  </si>
  <si>
    <t>Full FSCS Coverage</t>
  </si>
  <si>
    <t>Yes (up to GBP 85,000)</t>
  </si>
  <si>
    <t>All peers: Yes</t>
  </si>
  <si>
    <t>Parity</t>
  </si>
  <si>
    <t>Industry standard protection; table stakes for retail deposits</t>
  </si>
  <si>
    <t>Online-Only Access</t>
  </si>
  <si>
    <t>No branch network</t>
  </si>
  <si>
    <t>Majority app-only</t>
  </si>
  <si>
    <t>Neutral</t>
  </si>
  <si>
    <t>Lower cost base; suits digitally confident customers</t>
  </si>
  <si>
    <t>Entrepreneur-Focused Brand</t>
  </si>
  <si>
    <t>Unique positioning</t>
  </si>
  <si>
    <t>Generic retail focus (peers)</t>
  </si>
  <si>
    <t>Differentiator</t>
  </si>
  <si>
    <t>Attracts business owner depositors; clear market niche</t>
  </si>
  <si>
    <t>Deposit Product Recommendation Matrix — Investor Profile Analysis (October 2025)</t>
  </si>
  <si>
    <t>Investor Profile</t>
  </si>
  <si>
    <t>Risk Appetite</t>
  </si>
  <si>
    <t>Investment Horizon</t>
  </si>
  <si>
    <t>Recommended Bank</t>
  </si>
  <si>
    <t>Recommended Product</t>
  </si>
  <si>
    <t>Rationale</t>
  </si>
  <si>
    <t>Conservative Saver</t>
  </si>
  <si>
    <t>Low</t>
  </si>
  <si>
    <t>Short-term (0–3 months)</t>
  </si>
  <si>
    <t>Highest easy access rate in market with full FSCS protection and no withdrawal penalty</t>
  </si>
  <si>
    <t>Moderate Saver</t>
  </si>
  <si>
    <t>Medium</t>
  </si>
  <si>
    <t>Medium-term (3–12 months)</t>
  </si>
  <si>
    <t>5.01%</t>
  </si>
  <si>
    <t>Best notice account rate available; balances liquidity with above-average returns</t>
  </si>
  <si>
    <t>Growth-Focused Saver</t>
  </si>
  <si>
    <t>Low–Medium</t>
  </si>
  <si>
    <t>Long-term (1–2 years)</t>
  </si>
  <si>
    <t>5.02%</t>
  </si>
  <si>
    <t>Market-leading fixed rate; ideal for savers who do not need immediate access to capital</t>
  </si>
  <si>
    <t>Young Saver (18–30)</t>
  </si>
  <si>
    <t>Short-term flexible</t>
  </si>
  <si>
    <t>4.60%</t>
  </si>
  <si>
    <t>App-only access suits digital-native younger savers; low minimum deposit of GBP 50</t>
  </si>
  <si>
    <t>High Net Worth Individual</t>
  </si>
  <si>
    <t>Long-term</t>
  </si>
  <si>
    <t>4.80%</t>
  </si>
  <si>
    <t>High maximum deposit limit of GBP 500,000; strong fixed rate for large capital deployment</t>
  </si>
  <si>
    <t>Business Owner / Entrepreneur</t>
  </si>
  <si>
    <t>Flexible</t>
  </si>
  <si>
    <t>Pinnacle brand specifically targets entrepreneurs; high liquidity and competitive rate maintained</t>
  </si>
  <si>
    <t>Rate-Focused Saver</t>
  </si>
  <si>
    <t>Flexible, no lock-in</t>
  </si>
  <si>
    <t>Best easy access rate in market as of October 2025; no early exit penalty</t>
  </si>
  <si>
    <t>Key Finding: Pinnacle Savings offers the most competitive rates across Easy Access, Notice, and Fixed Term categories. Its high deposit limits and entrepreneur-aligned brand create a distinct competitive moat among UK digital savings banks as of October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</si>
</sst>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6D0000"/>
      <name val="Arial"/>
      <charset val="1"/>
    </font>
    <font>
      <sz val="9"/>
      <color rgb="FF111111"/>
      <name val="Arial"/>
      <charset val="1"/>
    </font>
    <font>
      <b/>
      <sz val="10"/>
      <color rgb="FFFFFFFF"/>
      <name val="Arial"/>
      <charset val="1"/>
    </font>
    <font>
      <b/>
      <i/>
      <sz val="9"/>
      <color rgb="FF6D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6D0000"/>
        <bgColor rgb="FF800000"/>
      </patternFill>
    </fill>
    <fill>
      <patternFill patternType="solid">
        <fgColor rgb="FFB71C1C"/>
        <bgColor rgb="FF993366"/>
      </patternFill>
    </fill>
    <fill>
      <patternFill patternType="solid">
        <fgColor rgb="FFEAD5D5"/>
        <bgColor rgb="FFE2EFDA"/>
      </patternFill>
    </fill>
    <fill>
      <patternFill patternType="solid">
        <fgColor rgb="FFFFFFFF"/>
        <bgColor rgb="FFFFEBEE"/>
      </patternFill>
    </fill>
    <fill>
      <patternFill patternType="solid">
        <fgColor rgb="FFFFEBEE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6" borderId="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0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0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  <dxf>
      <font>
        <sz val="9"/>
        <color rgb="FF375623"/>
        <name val="Arial"/>
      </font>
      <fill>
        <patternFill>
          <bgColor rgb="FFE2EFDA"/>
        </patternFill>
      </fill>
    </dxf>
    <dxf>
      <font>
        <sz val="9"/>
        <color rgb="FF1F4E79"/>
        <name val="Arial"/>
      </font>
      <fill>
        <patternFill>
          <bgColor rgb="FFBDD7EE"/>
        </patternFill>
      </fill>
    </dxf>
    <dxf>
      <font>
        <sz val="9"/>
        <color rgb="FF9C6500"/>
        <name val="Arial"/>
      </font>
      <fill>
        <patternFill>
          <bgColor rgb="FFFFEB9C"/>
        </patternFill>
      </fill>
    </dxf>
    <dxf>
      <font>
        <sz val="9"/>
        <color rgb="FF276221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D0000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EBEE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EA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B71C1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20" customWidth="1"/>
    <col min="2" max="2" width="28" customWidth="1"/>
    <col min="3" max="3" width="16" customWidth="1"/>
    <col min="4" max="4" width="10" customWidth="1"/>
    <col min="5" max="5" width="18" customWidth="1"/>
    <col min="6" max="6" width="20" customWidth="1"/>
    <col min="7" max="7" width="14" customWidth="1"/>
    <col min="8" max="9" width="16" customWidth="1"/>
    <col min="10" max="10" width="8.88671875" bestFit="1" customWidth="1"/>
  </cols>
  <sheetData>
    <row r="1" spans="1:10" ht="30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9.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5.75" customHeight="1" x14ac:dyDescent="0.3">
      <c r="A3" s="5" t="s">
        <v>11</v>
      </c>
      <c r="B3" s="5" t="s">
        <v>12</v>
      </c>
      <c r="C3" s="5" t="s">
        <v>13</v>
      </c>
      <c r="D3" s="6">
        <v>4.7199999999999999E-2</v>
      </c>
      <c r="E3" s="7">
        <v>1</v>
      </c>
      <c r="F3" s="7">
        <v>500000</v>
      </c>
      <c r="G3" s="5" t="s">
        <v>14</v>
      </c>
      <c r="H3" s="8" t="s">
        <v>15</v>
      </c>
      <c r="I3" s="5" t="s">
        <v>16</v>
      </c>
      <c r="J3" s="8">
        <f t="shared" ref="J3:J16" si="0">RANK(D3,D$3:D$16,0)</f>
        <v>8</v>
      </c>
    </row>
    <row r="4" spans="1:10" ht="15.75" customHeight="1" x14ac:dyDescent="0.3">
      <c r="A4" s="5" t="s">
        <v>11</v>
      </c>
      <c r="B4" s="5" t="s">
        <v>17</v>
      </c>
      <c r="C4" s="5" t="s">
        <v>18</v>
      </c>
      <c r="D4" s="6">
        <v>5.0099999999999999E-2</v>
      </c>
      <c r="E4" s="7">
        <v>1000</v>
      </c>
      <c r="F4" s="7">
        <v>500000</v>
      </c>
      <c r="G4" s="5" t="s">
        <v>19</v>
      </c>
      <c r="H4" s="8" t="s">
        <v>15</v>
      </c>
      <c r="I4" s="5" t="s">
        <v>20</v>
      </c>
      <c r="J4" s="8">
        <f t="shared" si="0"/>
        <v>2</v>
      </c>
    </row>
    <row r="5" spans="1:10" ht="15.75" customHeight="1" x14ac:dyDescent="0.3">
      <c r="A5" s="5" t="s">
        <v>11</v>
      </c>
      <c r="B5" s="5" t="s">
        <v>21</v>
      </c>
      <c r="C5" s="5" t="s">
        <v>22</v>
      </c>
      <c r="D5" s="6">
        <v>5.0200000000000002E-2</v>
      </c>
      <c r="E5" s="7">
        <v>1000</v>
      </c>
      <c r="F5" s="7">
        <v>500000</v>
      </c>
      <c r="G5" s="5" t="s">
        <v>23</v>
      </c>
      <c r="H5" s="8" t="s">
        <v>15</v>
      </c>
      <c r="I5" s="5" t="s">
        <v>20</v>
      </c>
      <c r="J5" s="8">
        <f t="shared" si="0"/>
        <v>1</v>
      </c>
    </row>
    <row r="6" spans="1:10" ht="15.75" customHeight="1" x14ac:dyDescent="0.3">
      <c r="A6" s="5" t="s">
        <v>11</v>
      </c>
      <c r="B6" s="5" t="s">
        <v>24</v>
      </c>
      <c r="C6" s="5" t="s">
        <v>22</v>
      </c>
      <c r="D6" s="6">
        <v>4.8000000000000001E-2</v>
      </c>
      <c r="E6" s="7">
        <v>1000</v>
      </c>
      <c r="F6" s="7">
        <v>500000</v>
      </c>
      <c r="G6" s="5" t="s">
        <v>25</v>
      </c>
      <c r="H6" s="8" t="s">
        <v>15</v>
      </c>
      <c r="I6" s="5" t="s">
        <v>20</v>
      </c>
      <c r="J6" s="8">
        <f t="shared" si="0"/>
        <v>5</v>
      </c>
    </row>
    <row r="7" spans="1:10" ht="15.75" customHeight="1" x14ac:dyDescent="0.3">
      <c r="A7" s="9" t="s">
        <v>26</v>
      </c>
      <c r="B7" s="9" t="s">
        <v>27</v>
      </c>
      <c r="C7" s="9" t="s">
        <v>13</v>
      </c>
      <c r="D7" s="10">
        <v>4.4999999999999998E-2</v>
      </c>
      <c r="E7" s="11">
        <v>1</v>
      </c>
      <c r="F7" s="11">
        <v>250000</v>
      </c>
      <c r="G7" s="9" t="s">
        <v>14</v>
      </c>
      <c r="H7" s="12" t="s">
        <v>15</v>
      </c>
      <c r="I7" s="9" t="s">
        <v>16</v>
      </c>
      <c r="J7" s="12">
        <f t="shared" si="0"/>
        <v>11</v>
      </c>
    </row>
    <row r="8" spans="1:10" ht="15.75" customHeight="1" x14ac:dyDescent="0.3">
      <c r="A8" s="13" t="s">
        <v>26</v>
      </c>
      <c r="B8" s="13" t="s">
        <v>28</v>
      </c>
      <c r="C8" s="13" t="s">
        <v>22</v>
      </c>
      <c r="D8" s="14">
        <v>4.8000000000000001E-2</v>
      </c>
      <c r="E8" s="15">
        <v>500</v>
      </c>
      <c r="F8" s="15">
        <v>250000</v>
      </c>
      <c r="G8" s="13" t="s">
        <v>23</v>
      </c>
      <c r="H8" s="16" t="s">
        <v>15</v>
      </c>
      <c r="I8" s="13" t="s">
        <v>20</v>
      </c>
      <c r="J8" s="16">
        <f t="shared" si="0"/>
        <v>5</v>
      </c>
    </row>
    <row r="9" spans="1:10" ht="15.75" customHeight="1" x14ac:dyDescent="0.3">
      <c r="A9" s="9" t="s">
        <v>29</v>
      </c>
      <c r="B9" s="9" t="s">
        <v>30</v>
      </c>
      <c r="C9" s="9" t="s">
        <v>13</v>
      </c>
      <c r="D9" s="10">
        <v>4.5999999999999999E-2</v>
      </c>
      <c r="E9" s="11">
        <v>50</v>
      </c>
      <c r="F9" s="11">
        <v>100000</v>
      </c>
      <c r="G9" s="9" t="s">
        <v>14</v>
      </c>
      <c r="H9" s="12" t="s">
        <v>15</v>
      </c>
      <c r="I9" s="9" t="s">
        <v>31</v>
      </c>
      <c r="J9" s="12">
        <f t="shared" si="0"/>
        <v>10</v>
      </c>
    </row>
    <row r="10" spans="1:10" ht="15.75" customHeight="1" x14ac:dyDescent="0.3">
      <c r="A10" s="13" t="s">
        <v>29</v>
      </c>
      <c r="B10" s="13" t="s">
        <v>32</v>
      </c>
      <c r="C10" s="13" t="s">
        <v>22</v>
      </c>
      <c r="D10" s="14">
        <v>4.8500000000000001E-2</v>
      </c>
      <c r="E10" s="15">
        <v>50</v>
      </c>
      <c r="F10" s="15">
        <v>100000</v>
      </c>
      <c r="G10" s="13" t="s">
        <v>33</v>
      </c>
      <c r="H10" s="16" t="s">
        <v>15</v>
      </c>
      <c r="I10" s="13" t="s">
        <v>31</v>
      </c>
      <c r="J10" s="16">
        <f t="shared" si="0"/>
        <v>4</v>
      </c>
    </row>
    <row r="11" spans="1:10" ht="15.75" customHeight="1" x14ac:dyDescent="0.3">
      <c r="A11" s="9" t="s">
        <v>29</v>
      </c>
      <c r="B11" s="9" t="s">
        <v>34</v>
      </c>
      <c r="C11" s="9" t="s">
        <v>22</v>
      </c>
      <c r="D11" s="10">
        <v>4.9500000000000002E-2</v>
      </c>
      <c r="E11" s="11">
        <v>50</v>
      </c>
      <c r="F11" s="11">
        <v>100000</v>
      </c>
      <c r="G11" s="9" t="s">
        <v>23</v>
      </c>
      <c r="H11" s="12" t="s">
        <v>15</v>
      </c>
      <c r="I11" s="9" t="s">
        <v>31</v>
      </c>
      <c r="J11" s="12">
        <f t="shared" si="0"/>
        <v>3</v>
      </c>
    </row>
    <row r="12" spans="1:10" ht="15.75" customHeight="1" x14ac:dyDescent="0.3">
      <c r="A12" s="13" t="s">
        <v>35</v>
      </c>
      <c r="B12" s="13" t="s">
        <v>36</v>
      </c>
      <c r="C12" s="13" t="s">
        <v>13</v>
      </c>
      <c r="D12" s="14">
        <v>4.1000000000000002E-2</v>
      </c>
      <c r="E12" s="15">
        <v>1</v>
      </c>
      <c r="F12" s="15">
        <v>100000</v>
      </c>
      <c r="G12" s="13" t="s">
        <v>14</v>
      </c>
      <c r="H12" s="16" t="s">
        <v>15</v>
      </c>
      <c r="I12" s="13" t="s">
        <v>31</v>
      </c>
      <c r="J12" s="16">
        <f t="shared" si="0"/>
        <v>12</v>
      </c>
    </row>
    <row r="13" spans="1:10" ht="15.75" customHeight="1" x14ac:dyDescent="0.3">
      <c r="A13" s="9" t="s">
        <v>35</v>
      </c>
      <c r="B13" s="9" t="s">
        <v>37</v>
      </c>
      <c r="C13" s="9" t="s">
        <v>22</v>
      </c>
      <c r="D13" s="10">
        <v>4.65E-2</v>
      </c>
      <c r="E13" s="11">
        <v>500</v>
      </c>
      <c r="F13" s="11">
        <v>100000</v>
      </c>
      <c r="G13" s="9" t="s">
        <v>23</v>
      </c>
      <c r="H13" s="12" t="s">
        <v>15</v>
      </c>
      <c r="I13" s="9" t="s">
        <v>31</v>
      </c>
      <c r="J13" s="12">
        <f t="shared" si="0"/>
        <v>9</v>
      </c>
    </row>
    <row r="14" spans="1:10" ht="15.75" customHeight="1" x14ac:dyDescent="0.3">
      <c r="A14" s="13" t="s">
        <v>38</v>
      </c>
      <c r="B14" s="13" t="s">
        <v>39</v>
      </c>
      <c r="C14" s="13" t="s">
        <v>13</v>
      </c>
      <c r="D14" s="14">
        <v>4.1000000000000002E-2</v>
      </c>
      <c r="E14" s="15">
        <v>1</v>
      </c>
      <c r="F14" s="15">
        <v>500000</v>
      </c>
      <c r="G14" s="13" t="s">
        <v>14</v>
      </c>
      <c r="H14" s="16" t="s">
        <v>15</v>
      </c>
      <c r="I14" s="13" t="s">
        <v>31</v>
      </c>
      <c r="J14" s="16">
        <f t="shared" si="0"/>
        <v>12</v>
      </c>
    </row>
    <row r="15" spans="1:10" ht="15.75" customHeight="1" x14ac:dyDescent="0.3">
      <c r="A15" s="9" t="s">
        <v>38</v>
      </c>
      <c r="B15" s="9" t="s">
        <v>40</v>
      </c>
      <c r="C15" s="9" t="s">
        <v>22</v>
      </c>
      <c r="D15" s="10">
        <v>4.7500000000000001E-2</v>
      </c>
      <c r="E15" s="11">
        <v>1000</v>
      </c>
      <c r="F15" s="11">
        <v>250000</v>
      </c>
      <c r="G15" s="9" t="s">
        <v>23</v>
      </c>
      <c r="H15" s="12" t="s">
        <v>15</v>
      </c>
      <c r="I15" s="9" t="s">
        <v>31</v>
      </c>
      <c r="J15" s="12">
        <f t="shared" si="0"/>
        <v>7</v>
      </c>
    </row>
    <row r="16" spans="1:10" ht="15.75" customHeight="1" x14ac:dyDescent="0.3">
      <c r="A16" s="13" t="s">
        <v>41</v>
      </c>
      <c r="B16" s="13" t="s">
        <v>42</v>
      </c>
      <c r="C16" s="13" t="s">
        <v>13</v>
      </c>
      <c r="D16" s="14">
        <v>3.2500000000000001E-2</v>
      </c>
      <c r="E16" s="15">
        <v>1</v>
      </c>
      <c r="F16" s="15">
        <v>1000000</v>
      </c>
      <c r="G16" s="13" t="s">
        <v>14</v>
      </c>
      <c r="H16" s="16" t="s">
        <v>15</v>
      </c>
      <c r="I16" s="13" t="s">
        <v>31</v>
      </c>
      <c r="J16" s="16">
        <f t="shared" si="0"/>
        <v>14</v>
      </c>
    </row>
  </sheetData>
  <mergeCells count="1">
    <mergeCell ref="A1:J1"/>
  </mergeCells>
  <conditionalFormatting sqref="D3:D16">
    <cfRule type="colorScale" priority="2">
      <colorScale>
        <cfvo type="min"/>
        <cfvo type="percentile" val="50"/>
        <cfvo type="max"/>
        <color rgb="FFFCE4D6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11" sqref="A11:G11"/>
    </sheetView>
  </sheetViews>
  <sheetFormatPr defaultColWidth="8.6640625" defaultRowHeight="14.4" x14ac:dyDescent="0.3"/>
  <cols>
    <col min="1" max="1" width="30" customWidth="1"/>
    <col min="2" max="2" width="22" customWidth="1"/>
    <col min="3" max="3" width="28" customWidth="1"/>
    <col min="4" max="4" width="17.77734375" bestFit="1" customWidth="1"/>
    <col min="5" max="5" width="46.21875" bestFit="1" customWidth="1"/>
    <col min="6" max="6" width="14.5546875" bestFit="1" customWidth="1"/>
    <col min="7" max="7" width="50.33203125" bestFit="1" customWidth="1"/>
  </cols>
  <sheetData>
    <row r="1" spans="1:7" ht="30" customHeight="1" x14ac:dyDescent="0.3">
      <c r="A1" s="3" t="s">
        <v>43</v>
      </c>
      <c r="B1" s="3"/>
      <c r="C1" s="3"/>
      <c r="D1" s="3"/>
      <c r="E1" s="3"/>
      <c r="F1" s="3"/>
      <c r="G1" s="3"/>
    </row>
    <row r="2" spans="1:7" ht="19.5" customHeight="1" x14ac:dyDescent="0.3">
      <c r="A2" s="4" t="s">
        <v>1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8</v>
      </c>
      <c r="G2" s="4" t="s">
        <v>48</v>
      </c>
    </row>
    <row r="3" spans="1:7" ht="21.75" customHeight="1" x14ac:dyDescent="0.3">
      <c r="A3" s="5" t="s">
        <v>11</v>
      </c>
      <c r="B3" s="8" t="s">
        <v>49</v>
      </c>
      <c r="C3" s="6">
        <v>4.7199999999999999E-2</v>
      </c>
      <c r="D3" s="6">
        <v>5.0200000000000002E-2</v>
      </c>
      <c r="E3" s="7">
        <v>500000</v>
      </c>
      <c r="F3" s="8" t="s">
        <v>15</v>
      </c>
      <c r="G3" s="5" t="s">
        <v>50</v>
      </c>
    </row>
    <row r="4" spans="1:7" ht="21.75" customHeight="1" x14ac:dyDescent="0.3">
      <c r="A4" s="13" t="s">
        <v>26</v>
      </c>
      <c r="B4" s="16" t="s">
        <v>51</v>
      </c>
      <c r="C4" s="14">
        <v>4.4999999999999998E-2</v>
      </c>
      <c r="D4" s="14">
        <v>4.8000000000000001E-2</v>
      </c>
      <c r="E4" s="15">
        <v>250000</v>
      </c>
      <c r="F4" s="16" t="s">
        <v>15</v>
      </c>
      <c r="G4" s="13" t="s">
        <v>52</v>
      </c>
    </row>
    <row r="5" spans="1:7" ht="21.75" customHeight="1" x14ac:dyDescent="0.3">
      <c r="A5" s="9" t="s">
        <v>29</v>
      </c>
      <c r="B5" s="12" t="s">
        <v>53</v>
      </c>
      <c r="C5" s="10">
        <v>4.5999999999999999E-2</v>
      </c>
      <c r="D5" s="10">
        <v>4.9500000000000002E-2</v>
      </c>
      <c r="E5" s="11">
        <v>100000</v>
      </c>
      <c r="F5" s="12" t="s">
        <v>15</v>
      </c>
      <c r="G5" s="9" t="s">
        <v>54</v>
      </c>
    </row>
    <row r="6" spans="1:7" ht="21.75" customHeight="1" x14ac:dyDescent="0.3">
      <c r="A6" s="13" t="s">
        <v>35</v>
      </c>
      <c r="B6" s="16" t="s">
        <v>55</v>
      </c>
      <c r="C6" s="14">
        <v>4.1000000000000002E-2</v>
      </c>
      <c r="D6" s="14">
        <v>4.65E-2</v>
      </c>
      <c r="E6" s="15">
        <v>100000</v>
      </c>
      <c r="F6" s="16" t="s">
        <v>15</v>
      </c>
      <c r="G6" s="13" t="s">
        <v>56</v>
      </c>
    </row>
    <row r="7" spans="1:7" ht="21.75" customHeight="1" x14ac:dyDescent="0.3">
      <c r="A7" s="9" t="s">
        <v>38</v>
      </c>
      <c r="B7" s="12" t="s">
        <v>57</v>
      </c>
      <c r="C7" s="10">
        <v>4.1000000000000002E-2</v>
      </c>
      <c r="D7" s="10">
        <v>4.7500000000000001E-2</v>
      </c>
      <c r="E7" s="11">
        <v>500000</v>
      </c>
      <c r="F7" s="12" t="s">
        <v>15</v>
      </c>
      <c r="G7" s="9" t="s">
        <v>58</v>
      </c>
    </row>
    <row r="8" spans="1:7" ht="21.75" customHeight="1" x14ac:dyDescent="0.3">
      <c r="A8" s="13" t="s">
        <v>41</v>
      </c>
      <c r="B8" s="16" t="s">
        <v>59</v>
      </c>
      <c r="C8" s="14">
        <v>3.2500000000000001E-2</v>
      </c>
      <c r="D8" s="16" t="s">
        <v>60</v>
      </c>
      <c r="E8" s="15">
        <v>1000000</v>
      </c>
      <c r="F8" s="16" t="s">
        <v>15</v>
      </c>
      <c r="G8" s="13" t="s">
        <v>61</v>
      </c>
    </row>
    <row r="11" spans="1:7" ht="19.5" customHeight="1" x14ac:dyDescent="0.3">
      <c r="A11" s="2" t="s">
        <v>62</v>
      </c>
      <c r="B11" s="2"/>
      <c r="C11" s="2"/>
      <c r="D11" s="2"/>
      <c r="E11" s="2"/>
      <c r="F11" s="2"/>
      <c r="G11" s="2"/>
    </row>
    <row r="12" spans="1:7" ht="19.5" customHeight="1" x14ac:dyDescent="0.3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67</v>
      </c>
    </row>
    <row r="13" spans="1:7" ht="21.75" customHeight="1" x14ac:dyDescent="0.3">
      <c r="A13" s="9" t="s">
        <v>68</v>
      </c>
      <c r="B13" s="9" t="s">
        <v>69</v>
      </c>
      <c r="C13" s="9" t="s">
        <v>70</v>
      </c>
      <c r="D13" s="12" t="s">
        <v>71</v>
      </c>
      <c r="E13" s="9" t="s">
        <v>72</v>
      </c>
    </row>
    <row r="14" spans="1:7" ht="21.75" customHeight="1" x14ac:dyDescent="0.3">
      <c r="A14" s="13" t="s">
        <v>73</v>
      </c>
      <c r="B14" s="13" t="s">
        <v>74</v>
      </c>
      <c r="C14" s="13" t="s">
        <v>75</v>
      </c>
      <c r="D14" s="16" t="s">
        <v>71</v>
      </c>
      <c r="E14" s="13" t="s">
        <v>76</v>
      </c>
    </row>
    <row r="15" spans="1:7" ht="21.75" customHeight="1" x14ac:dyDescent="0.3">
      <c r="A15" s="9" t="s">
        <v>77</v>
      </c>
      <c r="B15" s="9" t="s">
        <v>78</v>
      </c>
      <c r="C15" s="9" t="s">
        <v>79</v>
      </c>
      <c r="D15" s="12" t="s">
        <v>71</v>
      </c>
      <c r="E15" s="9" t="s">
        <v>80</v>
      </c>
    </row>
    <row r="16" spans="1:7" ht="21.75" customHeight="1" x14ac:dyDescent="0.3">
      <c r="A16" s="13" t="s">
        <v>81</v>
      </c>
      <c r="B16" s="13" t="s">
        <v>82</v>
      </c>
      <c r="C16" s="13" t="s">
        <v>83</v>
      </c>
      <c r="D16" s="16" t="s">
        <v>84</v>
      </c>
      <c r="E16" s="13" t="s">
        <v>85</v>
      </c>
    </row>
    <row r="17" spans="1:5" ht="21.75" customHeight="1" x14ac:dyDescent="0.3">
      <c r="A17" s="9" t="s">
        <v>86</v>
      </c>
      <c r="B17" s="9" t="s">
        <v>87</v>
      </c>
      <c r="C17" s="9" t="s">
        <v>88</v>
      </c>
      <c r="D17" s="12" t="s">
        <v>89</v>
      </c>
      <c r="E17" s="9" t="s">
        <v>90</v>
      </c>
    </row>
    <row r="18" spans="1:5" ht="21.75" customHeight="1" x14ac:dyDescent="0.3">
      <c r="A18" s="13" t="s">
        <v>91</v>
      </c>
      <c r="B18" s="13" t="s">
        <v>92</v>
      </c>
      <c r="C18" s="13" t="s">
        <v>93</v>
      </c>
      <c r="D18" s="16" t="s">
        <v>94</v>
      </c>
      <c r="E18" s="13" t="s">
        <v>95</v>
      </c>
    </row>
  </sheetData>
  <mergeCells count="2">
    <mergeCell ref="A1:G1"/>
    <mergeCell ref="A11:G11"/>
  </mergeCells>
  <conditionalFormatting sqref="D13">
    <cfRule type="cellIs" dxfId="23" priority="2" operator="equal">
      <formula>"Strong"</formula>
    </cfRule>
    <cfRule type="cellIs" dxfId="22" priority="3" operator="equal">
      <formula>"Neutral"</formula>
    </cfRule>
    <cfRule type="cellIs" dxfId="21" priority="4" operator="equal">
      <formula>"Parity"</formula>
    </cfRule>
    <cfRule type="cellIs" dxfId="20" priority="5" operator="equal">
      <formula>"Differentiator"</formula>
    </cfRule>
  </conditionalFormatting>
  <conditionalFormatting sqref="D14">
    <cfRule type="cellIs" dxfId="19" priority="6" operator="equal">
      <formula>"Strong"</formula>
    </cfRule>
    <cfRule type="cellIs" dxfId="18" priority="7" operator="equal">
      <formula>"Neutral"</formula>
    </cfRule>
    <cfRule type="cellIs" dxfId="17" priority="8" operator="equal">
      <formula>"Parity"</formula>
    </cfRule>
    <cfRule type="cellIs" dxfId="16" priority="9" operator="equal">
      <formula>"Differentiator"</formula>
    </cfRule>
  </conditionalFormatting>
  <conditionalFormatting sqref="D15">
    <cfRule type="cellIs" dxfId="15" priority="10" operator="equal">
      <formula>"Strong"</formula>
    </cfRule>
    <cfRule type="cellIs" dxfId="14" priority="11" operator="equal">
      <formula>"Neutral"</formula>
    </cfRule>
    <cfRule type="cellIs" dxfId="13" priority="12" operator="equal">
      <formula>"Parity"</formula>
    </cfRule>
    <cfRule type="cellIs" dxfId="12" priority="13" operator="equal">
      <formula>"Differentiator"</formula>
    </cfRule>
  </conditionalFormatting>
  <conditionalFormatting sqref="D16">
    <cfRule type="cellIs" dxfId="11" priority="14" operator="equal">
      <formula>"Strong"</formula>
    </cfRule>
    <cfRule type="cellIs" dxfId="10" priority="15" operator="equal">
      <formula>"Neutral"</formula>
    </cfRule>
    <cfRule type="cellIs" dxfId="9" priority="16" operator="equal">
      <formula>"Parity"</formula>
    </cfRule>
    <cfRule type="cellIs" dxfId="8" priority="17" operator="equal">
      <formula>"Differentiator"</formula>
    </cfRule>
  </conditionalFormatting>
  <conditionalFormatting sqref="D17">
    <cfRule type="cellIs" dxfId="7" priority="18" operator="equal">
      <formula>"Strong"</formula>
    </cfRule>
    <cfRule type="cellIs" dxfId="6" priority="19" operator="equal">
      <formula>"Neutral"</formula>
    </cfRule>
    <cfRule type="cellIs" dxfId="5" priority="20" operator="equal">
      <formula>"Parity"</formula>
    </cfRule>
    <cfRule type="cellIs" dxfId="4" priority="21" operator="equal">
      <formula>"Differentiator"</formula>
    </cfRule>
  </conditionalFormatting>
  <conditionalFormatting sqref="D18">
    <cfRule type="cellIs" dxfId="3" priority="22" operator="equal">
      <formula>"Strong"</formula>
    </cfRule>
    <cfRule type="cellIs" dxfId="2" priority="23" operator="equal">
      <formula>"Neutral"</formula>
    </cfRule>
    <cfRule type="cellIs" dxfId="1" priority="24" operator="equal">
      <formula>"Parity"</formula>
    </cfRule>
    <cfRule type="cellIs" dxfId="0" priority="25" operator="equal">
      <formula>"Differentiator"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2" width="16" customWidth="1"/>
    <col min="3" max="3" width="24" customWidth="1"/>
    <col min="4" max="4" width="20" customWidth="1"/>
    <col min="5" max="5" width="23.109375" bestFit="1" customWidth="1"/>
    <col min="6" max="6" width="7.109375" bestFit="1" customWidth="1"/>
    <col min="7" max="7" width="77.77734375" bestFit="1" customWidth="1"/>
  </cols>
  <sheetData>
    <row r="1" spans="1:7" ht="30" customHeight="1" x14ac:dyDescent="0.3">
      <c r="A1" s="3" t="s">
        <v>96</v>
      </c>
      <c r="B1" s="3"/>
      <c r="C1" s="3"/>
      <c r="D1" s="3"/>
      <c r="E1" s="3"/>
      <c r="F1" s="3"/>
      <c r="G1" s="3"/>
    </row>
    <row r="2" spans="1:7" ht="19.5" customHeight="1" x14ac:dyDescent="0.3">
      <c r="A2" s="4" t="s">
        <v>97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4</v>
      </c>
      <c r="G2" s="4" t="s">
        <v>102</v>
      </c>
    </row>
    <row r="3" spans="1:7" ht="36" customHeight="1" x14ac:dyDescent="0.3">
      <c r="A3" s="5" t="s">
        <v>103</v>
      </c>
      <c r="B3" s="8" t="s">
        <v>104</v>
      </c>
      <c r="C3" s="8" t="s">
        <v>105</v>
      </c>
      <c r="D3" s="5" t="s">
        <v>11</v>
      </c>
      <c r="E3" s="5" t="s">
        <v>12</v>
      </c>
      <c r="F3" s="8" t="s">
        <v>69</v>
      </c>
      <c r="G3" s="5" t="s">
        <v>106</v>
      </c>
    </row>
    <row r="4" spans="1:7" ht="36" customHeight="1" x14ac:dyDescent="0.3">
      <c r="A4" s="5" t="s">
        <v>107</v>
      </c>
      <c r="B4" s="8" t="s">
        <v>108</v>
      </c>
      <c r="C4" s="8" t="s">
        <v>109</v>
      </c>
      <c r="D4" s="5" t="s">
        <v>11</v>
      </c>
      <c r="E4" s="5" t="s">
        <v>17</v>
      </c>
      <c r="F4" s="8" t="s">
        <v>110</v>
      </c>
      <c r="G4" s="5" t="s">
        <v>111</v>
      </c>
    </row>
    <row r="5" spans="1:7" ht="36" customHeight="1" x14ac:dyDescent="0.3">
      <c r="A5" s="5" t="s">
        <v>112</v>
      </c>
      <c r="B5" s="8" t="s">
        <v>113</v>
      </c>
      <c r="C5" s="8" t="s">
        <v>114</v>
      </c>
      <c r="D5" s="5" t="s">
        <v>11</v>
      </c>
      <c r="E5" s="5" t="s">
        <v>21</v>
      </c>
      <c r="F5" s="8" t="s">
        <v>115</v>
      </c>
      <c r="G5" s="5" t="s">
        <v>116</v>
      </c>
    </row>
    <row r="6" spans="1:7" ht="36" customHeight="1" x14ac:dyDescent="0.3">
      <c r="A6" s="13" t="s">
        <v>117</v>
      </c>
      <c r="B6" s="16" t="s">
        <v>108</v>
      </c>
      <c r="C6" s="16" t="s">
        <v>118</v>
      </c>
      <c r="D6" s="13" t="s">
        <v>29</v>
      </c>
      <c r="E6" s="13" t="s">
        <v>30</v>
      </c>
      <c r="F6" s="16" t="s">
        <v>119</v>
      </c>
      <c r="G6" s="13" t="s">
        <v>120</v>
      </c>
    </row>
    <row r="7" spans="1:7" ht="36" customHeight="1" x14ac:dyDescent="0.3">
      <c r="A7" s="5" t="s">
        <v>121</v>
      </c>
      <c r="B7" s="8" t="s">
        <v>104</v>
      </c>
      <c r="C7" s="8" t="s">
        <v>122</v>
      </c>
      <c r="D7" s="5" t="s">
        <v>11</v>
      </c>
      <c r="E7" s="5" t="s">
        <v>24</v>
      </c>
      <c r="F7" s="8" t="s">
        <v>123</v>
      </c>
      <c r="G7" s="5" t="s">
        <v>124</v>
      </c>
    </row>
    <row r="8" spans="1:7" ht="36" customHeight="1" x14ac:dyDescent="0.3">
      <c r="A8" s="5" t="s">
        <v>125</v>
      </c>
      <c r="B8" s="8" t="s">
        <v>113</v>
      </c>
      <c r="C8" s="8" t="s">
        <v>126</v>
      </c>
      <c r="D8" s="5" t="s">
        <v>11</v>
      </c>
      <c r="E8" s="5" t="s">
        <v>12</v>
      </c>
      <c r="F8" s="8" t="s">
        <v>69</v>
      </c>
      <c r="G8" s="5" t="s">
        <v>127</v>
      </c>
    </row>
    <row r="9" spans="1:7" ht="36" customHeight="1" x14ac:dyDescent="0.3">
      <c r="A9" s="5" t="s">
        <v>128</v>
      </c>
      <c r="B9" s="8" t="s">
        <v>104</v>
      </c>
      <c r="C9" s="8" t="s">
        <v>129</v>
      </c>
      <c r="D9" s="5" t="s">
        <v>11</v>
      </c>
      <c r="E9" s="5" t="s">
        <v>12</v>
      </c>
      <c r="F9" s="8" t="s">
        <v>69</v>
      </c>
      <c r="G9" s="5" t="s">
        <v>130</v>
      </c>
    </row>
    <row r="11" spans="1:7" ht="36" customHeight="1" x14ac:dyDescent="0.3">
      <c r="A11" s="1" t="s">
        <v>131</v>
      </c>
      <c r="B11" s="1"/>
      <c r="C11" s="1"/>
      <c r="D11" s="1"/>
      <c r="E11" s="1"/>
      <c r="F11" s="1"/>
      <c r="G11" s="1"/>
    </row>
  </sheetData>
  <mergeCells count="2">
    <mergeCell ref="A1:G1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Comparison</vt:lpstr>
      <vt:lpstr>Competitive Analysis</vt:lpstr>
      <vt:lpstr>Recommendation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2026-04-14T05:07:56Z</dcterms:created>
  <dcterms:modified xsi:type="dcterms:W3CDTF">2026-04-14T05:42:17Z</dcterms:modified>
  <dc:language>en-US</dc:language>
</cp:coreProperties>
</file>